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ITULAR" sheetId="1" state="visible" r:id="rId2"/>
    <sheet name="INFORMES" sheetId="2" state="visible" r:id="rId3"/>
    <sheet name="NOTAS" sheetId="3" state="visible" r:id="rId4"/>
    <sheet name="Apoio_Dados" sheetId="4" state="visible" r:id="rId5"/>
  </sheets>
  <definedNames>
    <definedName function="false" hidden="false" name="tabela_bancos" vbProcedure="false">Apoio_Dados!$A$2:$B$11</definedName>
    <definedName function="false" hidden="false" name="tabela_entradas" vbProcedure="false">NOTAS!$C$9:$E$20</definedName>
    <definedName function="false" hidden="false" name="total_entradas" vbProcedure="false">NOTAS!$E$21</definedName>
    <definedName function="false" hidden="false" name="total_informes" vbProcedure="false">INFORMES!$C$6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<sst xmlns="http://schemas.openxmlformats.org/spreadsheetml/2006/main" count="115" uniqueCount="83">
  <si>
    <t xml:space="preserve">HENRICOS APP</t>
  </si>
  <si>
    <t xml:space="preserve">1. DADOS DO TÍTULAR</t>
  </si>
  <si>
    <t xml:space="preserve">preencha os dados da sua pessoa física abaixo</t>
  </si>
  <si>
    <t xml:space="preserve">NOME</t>
  </si>
  <si>
    <t xml:space="preserve">HENRICO SANTOS SILVA</t>
  </si>
  <si>
    <t xml:space="preserve">CPF</t>
  </si>
  <si>
    <t xml:space="preserve">123.123.123-98</t>
  </si>
  <si>
    <t xml:space="preserve">NASCIMENTO</t>
  </si>
  <si>
    <t xml:space="preserve">28/09/1994</t>
  </si>
  <si>
    <t xml:space="preserve">TÍTULO DE ELEITOR</t>
  </si>
  <si>
    <t xml:space="preserve">31713388-SP</t>
  </si>
  <si>
    <t xml:space="preserve">CÔNJUGE</t>
  </si>
  <si>
    <t xml:space="preserve">Mariana Souza Santos</t>
  </si>
  <si>
    <t xml:space="preserve">RUA</t>
  </si>
  <si>
    <t xml:space="preserve">Rua Dos Limoeiros, - Nº 180</t>
  </si>
  <si>
    <t xml:space="preserve">RUA ABREVIADA</t>
  </si>
  <si>
    <t xml:space="preserve">R. Dos Limoeiros, Nº 180</t>
  </si>
  <si>
    <t xml:space="preserve">CEP</t>
  </si>
  <si>
    <t xml:space="preserve">98765-321</t>
  </si>
  <si>
    <t xml:space="preserve">TELEFONE</t>
  </si>
  <si>
    <t xml:space="preserve">(11) 3171-3388</t>
  </si>
  <si>
    <t xml:space="preserve">CELULAR</t>
  </si>
  <si>
    <t xml:space="preserve">(11) 93171-3388</t>
  </si>
  <si>
    <t xml:space="preserve">E-MAIL</t>
  </si>
  <si>
    <t xml:space="preserve">henrico@invest.com.br</t>
  </si>
  <si>
    <t xml:space="preserve">HOUVE ALTERAÇÕES DA ENTREGA ANTERIOR</t>
  </si>
  <si>
    <t xml:space="preserve">SIM</t>
  </si>
  <si>
    <t xml:space="preserve">DEPENDENTE CÔNJUGE</t>
  </si>
  <si>
    <t xml:space="preserve">NÃO</t>
  </si>
  <si>
    <t xml:space="preserve">SYSTEM BY DIO 💚</t>
  </si>
  <si>
    <t xml:space="preserve">RESIDENTE DO EXTERIOR</t>
  </si>
  <si>
    <t xml:space="preserve">2. INFORMES DE RENDIMENTOS BANCÁRIOS</t>
  </si>
  <si>
    <t xml:space="preserve">Preencha com seus dados atuais de cada banco</t>
  </si>
  <si>
    <t xml:space="preserve">TOTAL CONSOLIDADO</t>
  </si>
  <si>
    <t xml:space="preserve">1º Banco</t>
  </si>
  <si>
    <t xml:space="preserve">BANCO</t>
  </si>
  <si>
    <t xml:space="preserve">033 - Banco Santander (Brasil) S.A.</t>
  </si>
  <si>
    <t xml:space="preserve">VALOR ATUAL</t>
  </si>
  <si>
    <t xml:space="preserve">ANEXO</t>
  </si>
  <si>
    <t xml:space="preserve">2º Banco</t>
  </si>
  <si>
    <t xml:space="preserve">341 - Itaú Unibanco S.A.</t>
  </si>
  <si>
    <t xml:space="preserve">3º Banco</t>
  </si>
  <si>
    <t xml:space="preserve">208 - Banco BTG Pactual S.A.</t>
  </si>
  <si>
    <t xml:space="preserve">4º Banco</t>
  </si>
  <si>
    <t xml:space="preserve">260 - Nu Pagamentos S.A. (Nubank)</t>
  </si>
  <si>
    <t xml:space="preserve">3. NOTAS BANCÁRIAS OU EXTRATO DE HOLERITES</t>
  </si>
  <si>
    <t xml:space="preserve">Soma todos os valores de entrada mês a mês de receita</t>
  </si>
  <si>
    <t xml:space="preserve">ENTRADAS</t>
  </si>
  <si>
    <t xml:space="preserve">DATA</t>
  </si>
  <si>
    <t xml:space="preserve">CATEGORIA</t>
  </si>
  <si>
    <t xml:space="preserve">VALOR</t>
  </si>
  <si>
    <t xml:space="preserve">janeiro-2025</t>
  </si>
  <si>
    <t xml:space="preserve">HOLERITE</t>
  </si>
  <si>
    <t xml:space="preserve">fevereiro-2025</t>
  </si>
  <si>
    <t xml:space="preserve">março-2025</t>
  </si>
  <si>
    <t xml:space="preserve">abril-2025</t>
  </si>
  <si>
    <t xml:space="preserve">maio-2025</t>
  </si>
  <si>
    <t xml:space="preserve">junho-2025</t>
  </si>
  <si>
    <t xml:space="preserve">julho-2025</t>
  </si>
  <si>
    <t xml:space="preserve">agosto-2025</t>
  </si>
  <si>
    <t xml:space="preserve">setembro-2025</t>
  </si>
  <si>
    <t xml:space="preserve">outubro-2025</t>
  </si>
  <si>
    <t xml:space="preserve">novembro-2025</t>
  </si>
  <si>
    <t xml:space="preserve">dezembro-2025</t>
  </si>
  <si>
    <t xml:space="preserve">TOTAL ANUAL</t>
  </si>
  <si>
    <t xml:space="preserve">12 Meses de Receita</t>
  </si>
  <si>
    <t xml:space="preserve">CÓDIGO</t>
  </si>
  <si>
    <t xml:space="preserve">BANCO / INSTITUIÇÃO</t>
  </si>
  <si>
    <t xml:space="preserve">CATEGORIAS DE ENTRADA</t>
  </si>
  <si>
    <t xml:space="preserve">SIM_NAO</t>
  </si>
  <si>
    <t xml:space="preserve">001 - Banco do Brasil S.A.</t>
  </si>
  <si>
    <t xml:space="preserve">PRÓ-LABORE</t>
  </si>
  <si>
    <t xml:space="preserve">104 - Caixa Econômica Federal</t>
  </si>
  <si>
    <t xml:space="preserve">ALUGUEL RECEBIDO</t>
  </si>
  <si>
    <t xml:space="preserve">237 - Banco Bradesco S.A.</t>
  </si>
  <si>
    <t xml:space="preserve">RENDIMENTO BANCÁRIO</t>
  </si>
  <si>
    <t xml:space="preserve">RESTITUIÇÃO IRPF</t>
  </si>
  <si>
    <t xml:space="preserve">DIVIDENDOS / JCP</t>
  </si>
  <si>
    <t xml:space="preserve">077 - Banco Inter S.A.</t>
  </si>
  <si>
    <t xml:space="preserve">SERVIÇO PRESTADO</t>
  </si>
  <si>
    <t xml:space="preserve">OUTROS</t>
  </si>
  <si>
    <t xml:space="preserve">336 - Banco C6 S.A.</t>
  </si>
  <si>
    <t xml:space="preserve">212 - Banco Original S.A.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</si>
</sst>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&quot;R$ &quot;#,##0.00"/>
    <numFmt numFmtId="167" formatCode="000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Segoe UI"/>
      <family val="0"/>
      <charset val="1"/>
    </font>
    <font>
      <b val="true"/>
      <sz val="13"/>
      <color rgb="FF065F46"/>
      <name val="Segoe UI"/>
      <family val="0"/>
      <charset val="1"/>
    </font>
    <font>
      <i val="true"/>
      <sz val="9"/>
      <color rgb="FF064E3B"/>
      <name val="Segoe UI"/>
      <family val="0"/>
      <charset val="1"/>
    </font>
    <font>
      <b val="true"/>
      <sz val="9"/>
      <color rgb="FF064E3B"/>
      <name val="Segoe UI"/>
      <family val="0"/>
      <charset val="1"/>
    </font>
    <font>
      <sz val="9"/>
      <color rgb="FF064E3B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sz val="10"/>
      <color rgb="FFA7F3D0"/>
      <name val="Segoe UI"/>
      <family val="0"/>
      <charset val="1"/>
    </font>
    <font>
      <b val="true"/>
      <sz val="8"/>
      <color rgb="FF34D399"/>
      <name val="Segoe UI"/>
      <family val="0"/>
      <charset val="1"/>
    </font>
    <font>
      <i val="true"/>
      <sz val="8"/>
      <color rgb="FF6EE7B7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9"/>
      <color rgb="FF065F46"/>
      <name val="Segoe UI"/>
      <family val="0"/>
      <charset val="1"/>
    </font>
    <font>
      <b val="true"/>
      <sz val="14"/>
      <color rgb="FF064E3B"/>
      <name val="Segoe UI"/>
      <family val="0"/>
      <charset val="1"/>
    </font>
    <font>
      <i val="true"/>
      <sz val="8"/>
      <color rgb="FF047857"/>
      <name val="Segoe UI"/>
      <family val="0"/>
      <charset val="1"/>
    </font>
    <font>
      <b val="true"/>
      <sz val="9"/>
      <color rgb="FF0F172A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sz val="9"/>
      <color rgb="FF0F172A"/>
      <name val="Segoe UI"/>
      <family val="0"/>
      <charset val="1"/>
    </font>
    <font>
      <b val="true"/>
      <sz val="10"/>
      <color rgb="FF064E3B"/>
      <name val="Segoe U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61C14"/>
        <bgColor rgb="FF0F172A"/>
      </patternFill>
    </fill>
    <fill>
      <patternFill patternType="solid">
        <fgColor rgb="FFD1FAE5"/>
        <bgColor rgb="FFCCFFFF"/>
      </patternFill>
    </fill>
    <fill>
      <patternFill patternType="solid">
        <fgColor rgb="FFF0FDF4"/>
        <bgColor rgb="FFFFFFFF"/>
      </patternFill>
    </fill>
    <fill>
      <patternFill patternType="solid">
        <fgColor rgb="FF059669"/>
        <bgColor rgb="FF047857"/>
      </patternFill>
    </fill>
    <fill>
      <patternFill patternType="solid">
        <fgColor rgb="FF0D2F22"/>
        <bgColor rgb="FF1F3A2E"/>
      </patternFill>
    </fill>
    <fill>
      <patternFill patternType="solid">
        <fgColor rgb="FF1F3A2E"/>
        <bgColor rgb="FF0D2F22"/>
      </patternFill>
    </fill>
    <fill>
      <patternFill patternType="solid">
        <fgColor rgb="FF047857"/>
        <bgColor rgb="FF065F46"/>
      </patternFill>
    </fill>
    <fill>
      <patternFill patternType="solid">
        <fgColor rgb="FF064E3B"/>
        <bgColor rgb="FF065F46"/>
      </patternFill>
    </fill>
    <fill>
      <patternFill patternType="solid">
        <fgColor rgb="FFFFFFFF"/>
        <bgColor rgb="FFF0FDF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1FAE5"/>
      </left>
      <right style="thin">
        <color rgb="FFD1FAE5"/>
      </right>
      <top style="thin">
        <color rgb="FFD1FAE5"/>
      </top>
      <bottom style="thin">
        <color rgb="FFD1FAE5"/>
      </bottom>
      <diagonal/>
    </border>
    <border diagonalUp="false" diagonalDown="false"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 diagonalUp="false" diagonalDown="false">
      <left style="medium">
        <color rgb="FF34D399"/>
      </left>
      <right style="medium">
        <color rgb="FF34D399"/>
      </right>
      <top style="medium">
        <color rgb="FF34D399"/>
      </top>
      <bottom style="medium">
        <color rgb="FF34D399"/>
      </bottom>
      <diagonal/>
    </border>
    <border diagonalUp="false" diagonalDown="false">
      <left/>
      <right/>
      <top/>
      <bottom style="thin">
        <color rgb="FF0D2F22"/>
      </bottom>
      <diagonal/>
    </border>
    <border diagonalUp="false" diagonalDown="false">
      <left style="medium">
        <color rgb="FF059669"/>
      </left>
      <right style="medium">
        <color rgb="FF059669"/>
      </right>
      <top style="medium">
        <color rgb="FF059669"/>
      </top>
      <bottom style="medium">
        <color rgb="FF059669"/>
      </bottom>
      <diagonal/>
    </border>
    <border diagonalUp="false" diagonalDown="false">
      <left style="thin">
        <color rgb="FFD1FAE5"/>
      </left>
      <right style="thin">
        <color rgb="FFD1FAE5"/>
      </right>
      <top style="thin">
        <color rgb="FF059669"/>
      </top>
      <bottom style="double">
        <color rgb="FF064E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5F46"/>
      <rgbColor rgb="FF0F172A"/>
      <rgbColor rgb="FF808000"/>
      <rgbColor rgb="FF800080"/>
      <rgbColor rgb="FF047857"/>
      <rgbColor rgb="FFC0C0C0"/>
      <rgbColor rgb="FF808080"/>
      <rgbColor rgb="FF9999FF"/>
      <rgbColor rgb="FF993366"/>
      <rgbColor rgb="FFF0FDF4"/>
      <rgbColor rgb="FFA7F3D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CCFFFF"/>
      <rgbColor rgb="FFD1FAE5"/>
      <rgbColor rgb="FFFFFF99"/>
      <rgbColor rgb="FF6EE7B7"/>
      <rgbColor rgb="FFFF99CC"/>
      <rgbColor rgb="FFCC99FF"/>
      <rgbColor rgb="FFFFCC99"/>
      <rgbColor rgb="FF3366FF"/>
      <rgbColor rgb="FF34D399"/>
      <rgbColor rgb="FF99CC00"/>
      <rgbColor rgb="FFFFCC00"/>
      <rgbColor rgb="FFFF9900"/>
      <rgbColor rgb="FFFF6600"/>
      <rgbColor rgb="FF666699"/>
      <rgbColor rgb="FF969696"/>
      <rgbColor rgb="FF064E3B"/>
      <rgbColor rgb="FF339966"/>
      <rgbColor rgb="FF0D2F22"/>
      <rgbColor rgb="FF061C14"/>
      <rgbColor rgb="FF993300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</xdr:col>
      <xdr:colOff>342360</xdr:colOff>
      <xdr:row>5</xdr:row>
      <xdr:rowOff>199440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466560"/>
          <a:ext cx="1047240" cy="1047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</xdr:col>
      <xdr:colOff>342360</xdr:colOff>
      <xdr:row>5</xdr:row>
      <xdr:rowOff>56520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466560"/>
          <a:ext cx="1047240" cy="1047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</xdr:col>
      <xdr:colOff>342360</xdr:colOff>
      <xdr:row>5</xdr:row>
      <xdr:rowOff>161280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466560"/>
          <a:ext cx="1047240" cy="10472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5" min="5" style="0" width="6"/>
  </cols>
  <sheetData>
    <row r="1" customFormat="false" ht="15" hidden="false" customHeight="false" outlineLevel="0" collapsed="false">
      <c r="A1" s="1"/>
      <c r="B1" s="1"/>
    </row>
    <row r="2" customFormat="false" ht="21.75" hidden="false" customHeight="true" outlineLevel="0" collapsed="false">
      <c r="A2" s="2" t="s">
        <v>0</v>
      </c>
      <c r="B2" s="2"/>
      <c r="C2" s="3" t="s">
        <v>1</v>
      </c>
      <c r="D2" s="3"/>
      <c r="E2" s="3"/>
    </row>
    <row r="3" customFormat="false" ht="18" hidden="false" customHeight="true" outlineLevel="0" collapsed="false">
      <c r="A3" s="1"/>
      <c r="B3" s="1"/>
      <c r="C3" s="4" t="s">
        <v>2</v>
      </c>
      <c r="D3" s="4"/>
      <c r="E3" s="4"/>
    </row>
    <row r="4" customFormat="false" ht="30" hidden="false" customHeight="true" outlineLevel="0" collapsed="false">
      <c r="A4" s="1"/>
      <c r="B4" s="1"/>
    </row>
    <row r="5" customFormat="false" ht="18.75" hidden="false" customHeight="true" outlineLevel="0" collapsed="false">
      <c r="A5" s="1"/>
      <c r="B5" s="1"/>
      <c r="C5" s="5" t="s">
        <v>3</v>
      </c>
      <c r="D5" s="6" t="s">
        <v>4</v>
      </c>
    </row>
    <row r="6" customFormat="false" ht="18.75" hidden="false" customHeight="true" outlineLevel="0" collapsed="false">
      <c r="A6" s="1"/>
      <c r="B6" s="1"/>
      <c r="C6" s="5" t="s">
        <v>5</v>
      </c>
      <c r="D6" s="6" t="s">
        <v>6</v>
      </c>
    </row>
    <row r="7" customFormat="false" ht="18.75" hidden="false" customHeight="true" outlineLevel="0" collapsed="false">
      <c r="A7" s="7" t="str">
        <f aca="false">HYPERLINK("#'TITULAR'!A1", "TÍTULAR")</f>
        <v>TÍTULAR</v>
      </c>
      <c r="B7" s="7"/>
      <c r="C7" s="5" t="s">
        <v>7</v>
      </c>
      <c r="D7" s="6" t="s">
        <v>8</v>
      </c>
    </row>
    <row r="8" customFormat="false" ht="18.75" hidden="false" customHeight="true" outlineLevel="0" collapsed="false">
      <c r="A8" s="1"/>
      <c r="B8" s="1"/>
      <c r="C8" s="5" t="s">
        <v>9</v>
      </c>
      <c r="D8" s="6" t="s">
        <v>10</v>
      </c>
    </row>
    <row r="9" customFormat="false" ht="18.75" hidden="false" customHeight="true" outlineLevel="0" collapsed="false">
      <c r="A9" s="8" t="str">
        <f aca="false">HYPERLINK("#'INFORMES'!A1", "INFORMES")</f>
        <v>INFORMES</v>
      </c>
      <c r="B9" s="8"/>
      <c r="C9" s="5" t="s">
        <v>11</v>
      </c>
      <c r="D9" s="6" t="s">
        <v>12</v>
      </c>
    </row>
    <row r="10" customFormat="false" ht="18.75" hidden="false" customHeight="true" outlineLevel="0" collapsed="false">
      <c r="A10" s="1"/>
      <c r="B10" s="1"/>
      <c r="C10" s="5" t="s">
        <v>13</v>
      </c>
      <c r="D10" s="6" t="s">
        <v>14</v>
      </c>
    </row>
    <row r="11" customFormat="false" ht="18.75" hidden="false" customHeight="true" outlineLevel="0" collapsed="false">
      <c r="A11" s="8" t="str">
        <f aca="false">HYPERLINK("#'NOTAS'!A1", "NOTAS")</f>
        <v>NOTAS</v>
      </c>
      <c r="B11" s="8"/>
      <c r="C11" s="5" t="s">
        <v>15</v>
      </c>
      <c r="D11" s="6" t="s">
        <v>16</v>
      </c>
    </row>
    <row r="12" customFormat="false" ht="18.75" hidden="false" customHeight="true" outlineLevel="0" collapsed="false">
      <c r="A12" s="1"/>
      <c r="B12" s="1"/>
      <c r="C12" s="5" t="s">
        <v>17</v>
      </c>
      <c r="D12" s="6" t="s">
        <v>18</v>
      </c>
    </row>
    <row r="13" customFormat="false" ht="18.75" hidden="false" customHeight="true" outlineLevel="0" collapsed="false">
      <c r="A13" s="1"/>
      <c r="B13" s="1"/>
      <c r="C13" s="5" t="s">
        <v>19</v>
      </c>
      <c r="D13" s="6" t="s">
        <v>20</v>
      </c>
    </row>
    <row r="14" customFormat="false" ht="18.75" hidden="false" customHeight="true" outlineLevel="0" collapsed="false">
      <c r="A14" s="1"/>
      <c r="B14" s="1"/>
      <c r="C14" s="5" t="s">
        <v>21</v>
      </c>
      <c r="D14" s="6" t="s">
        <v>22</v>
      </c>
    </row>
    <row r="15" customFormat="false" ht="18.75" hidden="false" customHeight="true" outlineLevel="0" collapsed="false">
      <c r="A15" s="1"/>
      <c r="B15" s="1"/>
      <c r="C15" s="5" t="s">
        <v>23</v>
      </c>
      <c r="D15" s="6" t="s">
        <v>24</v>
      </c>
    </row>
    <row r="16" customFormat="false" ht="18.75" hidden="false" customHeight="true" outlineLevel="0" collapsed="false">
      <c r="A16" s="1"/>
      <c r="B16" s="1"/>
      <c r="C16" s="5" t="s">
        <v>25</v>
      </c>
      <c r="D16" s="9" t="s">
        <v>26</v>
      </c>
    </row>
    <row r="17" customFormat="false" ht="18.75" hidden="false" customHeight="true" outlineLevel="0" collapsed="false">
      <c r="A17" s="10"/>
      <c r="B17" s="10"/>
      <c r="C17" s="5" t="s">
        <v>27</v>
      </c>
      <c r="D17" s="9" t="s">
        <v>28</v>
      </c>
    </row>
    <row r="18" customFormat="false" ht="18.75" hidden="false" customHeight="true" outlineLevel="0" collapsed="false">
      <c r="A18" s="11" t="s">
        <v>29</v>
      </c>
      <c r="B18" s="11"/>
      <c r="C18" s="5" t="s">
        <v>30</v>
      </c>
      <c r="D18" s="9" t="s">
        <v>28</v>
      </c>
    </row>
    <row r="19" customFormat="false" ht="15.75" hidden="false" customHeight="true" outlineLevel="0" collapsed="false">
      <c r="A19" s="12" t="str">
        <f aca="false">HYPERLINK("https://linkedin.com", "🔗 linkedin.com/in/henrico")</f>
        <v>🔗 linkedin.com/in/henrico</v>
      </c>
      <c r="B19" s="12"/>
    </row>
    <row r="20" customFormat="false" ht="24" hidden="false" customHeight="true" outlineLevel="0" collapsed="false">
      <c r="A20" s="1"/>
      <c r="B20" s="1"/>
      <c r="C20" s="13" t="str">
        <f aca="false">HYPERLINK("#'INFORMES'!A1", "PRÓXIMO -&gt;")</f>
        <v>PRÓXIMO -&gt;</v>
      </c>
      <c r="D20" s="13"/>
    </row>
    <row r="21" customFormat="false" ht="15" hidden="false" customHeight="false" outlineLevel="0" collapsed="false">
      <c r="A21" s="1"/>
      <c r="B21" s="1"/>
    </row>
    <row r="22" customFormat="false" ht="15" hidden="false" customHeight="false" outlineLevel="0" collapsed="false">
      <c r="A22" s="1"/>
      <c r="B22" s="1"/>
    </row>
    <row r="23" customFormat="false" ht="15" hidden="false" customHeight="false" outlineLevel="0" collapsed="false">
      <c r="A23" s="1"/>
      <c r="B23" s="1"/>
    </row>
    <row r="24" customFormat="false" ht="15" hidden="false" customHeight="false" outlineLevel="0" collapsed="false">
      <c r="A24" s="1"/>
      <c r="B24" s="1"/>
    </row>
    <row r="25" customFormat="false" ht="15" hidden="false" customHeight="false" outlineLevel="0" collapsed="false">
      <c r="A25" s="1"/>
      <c r="B25" s="1"/>
    </row>
  </sheetData>
  <mergeCells count="10">
    <mergeCell ref="A2:B2"/>
    <mergeCell ref="C2:E2"/>
    <mergeCell ref="C3:E3"/>
    <mergeCell ref="A7:B7"/>
    <mergeCell ref="A9:B9"/>
    <mergeCell ref="A11:B11"/>
    <mergeCell ref="A17:B17"/>
    <mergeCell ref="A18:B18"/>
    <mergeCell ref="A19:B19"/>
    <mergeCell ref="C20:D20"/>
  </mergeCells>
  <dataValidations count="1">
    <dataValidation allowBlank="false" error="Escolha SIM ou NÃO da lista" errorStyle="stop" errorTitle="Valor Inválido" operator="between" showDropDown="false" showErrorMessage="false" showInputMessage="false" sqref="D16:D18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6"/>
  </cols>
  <sheetData>
    <row r="1" customFormat="false" ht="15" hidden="false" customHeight="false" outlineLevel="0" collapsed="false">
      <c r="A1" s="1"/>
      <c r="B1" s="1"/>
    </row>
    <row r="2" customFormat="false" ht="21.75" hidden="false" customHeight="true" outlineLevel="0" collapsed="false">
      <c r="A2" s="2" t="s">
        <v>0</v>
      </c>
      <c r="B2" s="2"/>
      <c r="C2" s="3" t="s">
        <v>31</v>
      </c>
      <c r="D2" s="3"/>
      <c r="E2" s="3"/>
    </row>
    <row r="3" customFormat="false" ht="18" hidden="false" customHeight="true" outlineLevel="0" collapsed="false">
      <c r="A3" s="1"/>
      <c r="B3" s="1"/>
      <c r="C3" s="4" t="s">
        <v>32</v>
      </c>
      <c r="D3" s="4"/>
      <c r="E3" s="4"/>
    </row>
    <row r="4" customFormat="false" ht="30" hidden="false" customHeight="true" outlineLevel="0" collapsed="false">
      <c r="A4" s="1"/>
      <c r="B4" s="1"/>
    </row>
    <row r="5" customFormat="false" ht="30" hidden="false" customHeight="true" outlineLevel="0" collapsed="false">
      <c r="A5" s="1"/>
      <c r="B5" s="1"/>
      <c r="C5" s="14" t="s">
        <v>33</v>
      </c>
    </row>
    <row r="6" customFormat="false" ht="25.5" hidden="false" customHeight="true" outlineLevel="0" collapsed="false">
      <c r="A6" s="1"/>
      <c r="B6" s="1"/>
      <c r="C6" s="15" t="n">
        <f aca="false">SUM(D10,D14,D18,D22)</f>
        <v>58527777</v>
      </c>
      <c r="D6" s="15"/>
    </row>
    <row r="7" customFormat="false" ht="24" hidden="false" customHeight="true" outlineLevel="0" collapsed="false">
      <c r="A7" s="8" t="str">
        <f aca="false">HYPERLINK("#'TITULAR'!A1", "TÍTULAR")</f>
        <v>TÍTULAR</v>
      </c>
      <c r="B7" s="8"/>
    </row>
    <row r="8" customFormat="false" ht="13.5" hidden="false" customHeight="true" outlineLevel="0" collapsed="false">
      <c r="A8" s="1"/>
      <c r="B8" s="1"/>
      <c r="C8" s="16" t="s">
        <v>34</v>
      </c>
    </row>
    <row r="9" customFormat="false" ht="18.75" hidden="false" customHeight="true" outlineLevel="0" collapsed="false">
      <c r="A9" s="7" t="str">
        <f aca="false">HYPERLINK("#'INFORMES'!A1", "INFORMES")</f>
        <v>INFORMES</v>
      </c>
      <c r="B9" s="7"/>
      <c r="C9" s="5" t="s">
        <v>35</v>
      </c>
      <c r="D9" s="6" t="s">
        <v>36</v>
      </c>
    </row>
    <row r="10" customFormat="false" ht="18.75" hidden="false" customHeight="true" outlineLevel="0" collapsed="false">
      <c r="A10" s="1"/>
      <c r="B10" s="1"/>
      <c r="C10" s="5" t="s">
        <v>37</v>
      </c>
      <c r="D10" s="17" t="n">
        <v>500000</v>
      </c>
    </row>
    <row r="11" customFormat="false" ht="18.75" hidden="false" customHeight="true" outlineLevel="0" collapsed="false">
      <c r="A11" s="8" t="str">
        <f aca="false">HYPERLINK("#'NOTAS'!A1", "NOTAS")</f>
        <v>NOTAS</v>
      </c>
      <c r="B11" s="8"/>
      <c r="C11" s="5" t="s">
        <v>38</v>
      </c>
      <c r="D11" s="18" t="str">
        <f aca="false">HYPERLINK("https://docs.google.com", "📄 informe_santander_2025.pdf")</f>
        <v>📄 informe_santander_2025.pdf</v>
      </c>
    </row>
    <row r="12" customFormat="false" ht="13.5" hidden="false" customHeight="true" outlineLevel="0" collapsed="false">
      <c r="A12" s="1"/>
      <c r="B12" s="1"/>
      <c r="C12" s="16" t="s">
        <v>39</v>
      </c>
    </row>
    <row r="13" customFormat="false" ht="18.75" hidden="false" customHeight="true" outlineLevel="0" collapsed="false">
      <c r="A13" s="1"/>
      <c r="B13" s="1"/>
      <c r="C13" s="5" t="s">
        <v>35</v>
      </c>
      <c r="D13" s="6" t="s">
        <v>40</v>
      </c>
    </row>
    <row r="14" customFormat="false" ht="18.75" hidden="false" customHeight="true" outlineLevel="0" collapsed="false">
      <c r="A14" s="1"/>
      <c r="B14" s="1"/>
      <c r="C14" s="5" t="s">
        <v>37</v>
      </c>
      <c r="D14" s="17" t="n">
        <v>1312312</v>
      </c>
    </row>
    <row r="15" customFormat="false" ht="18.75" hidden="false" customHeight="true" outlineLevel="0" collapsed="false">
      <c r="A15" s="1"/>
      <c r="B15" s="1"/>
      <c r="C15" s="5" t="s">
        <v>38</v>
      </c>
      <c r="D15" s="18" t="str">
        <f aca="false">HYPERLINK("https://docs.google.com", "📄 informe_itau_2025.pdf")</f>
        <v>📄 informe_itau_2025.pdf</v>
      </c>
    </row>
    <row r="16" customFormat="false" ht="13.5" hidden="false" customHeight="true" outlineLevel="0" collapsed="false">
      <c r="A16" s="1"/>
      <c r="B16" s="1"/>
      <c r="C16" s="16" t="s">
        <v>41</v>
      </c>
    </row>
    <row r="17" customFormat="false" ht="18.75" hidden="false" customHeight="true" outlineLevel="0" collapsed="false">
      <c r="A17" s="10"/>
      <c r="B17" s="10"/>
      <c r="C17" s="5" t="s">
        <v>35</v>
      </c>
      <c r="D17" s="6" t="s">
        <v>42</v>
      </c>
    </row>
    <row r="18" customFormat="false" ht="18.75" hidden="false" customHeight="true" outlineLevel="0" collapsed="false">
      <c r="A18" s="11" t="s">
        <v>29</v>
      </c>
      <c r="B18" s="11"/>
      <c r="C18" s="5" t="s">
        <v>37</v>
      </c>
      <c r="D18" s="17" t="n">
        <v>56565465</v>
      </c>
    </row>
    <row r="19" customFormat="false" ht="18.75" hidden="false" customHeight="true" outlineLevel="0" collapsed="false">
      <c r="A19" s="12" t="str">
        <f aca="false">HYPERLINK("https://linkedin.com", "🔗 linkedin.com/in/henrico")</f>
        <v>🔗 linkedin.com/in/henrico</v>
      </c>
      <c r="B19" s="12"/>
      <c r="C19" s="5" t="s">
        <v>38</v>
      </c>
      <c r="D19" s="18" t="str">
        <f aca="false">HYPERLINK("https://docs.google.com", "📄 informe_btg_2025.pdf")</f>
        <v>📄 informe_btg_2025.pdf</v>
      </c>
    </row>
    <row r="20" customFormat="false" ht="13.5" hidden="false" customHeight="true" outlineLevel="0" collapsed="false">
      <c r="A20" s="1"/>
      <c r="B20" s="1"/>
      <c r="C20" s="16" t="s">
        <v>43</v>
      </c>
    </row>
    <row r="21" customFormat="false" ht="18.75" hidden="false" customHeight="true" outlineLevel="0" collapsed="false">
      <c r="A21" s="1"/>
      <c r="B21" s="1"/>
      <c r="C21" s="5" t="s">
        <v>35</v>
      </c>
      <c r="D21" s="6" t="s">
        <v>44</v>
      </c>
    </row>
    <row r="22" customFormat="false" ht="18.75" hidden="false" customHeight="true" outlineLevel="0" collapsed="false">
      <c r="A22" s="1"/>
      <c r="B22" s="1"/>
      <c r="C22" s="5" t="s">
        <v>37</v>
      </c>
      <c r="D22" s="17" t="n">
        <v>150000</v>
      </c>
    </row>
    <row r="23" customFormat="false" ht="18.75" hidden="false" customHeight="true" outlineLevel="0" collapsed="false">
      <c r="A23" s="1"/>
      <c r="B23" s="1"/>
      <c r="C23" s="5" t="s">
        <v>38</v>
      </c>
      <c r="D23" s="18" t="str">
        <f aca="false">HYPERLINK("https://docs.google.com", "📄 informe_nubank_2025.pdf")</f>
        <v>📄 informe_nubank_2025.pdf</v>
      </c>
    </row>
    <row r="24" customFormat="false" ht="15" hidden="false" customHeight="false" outlineLevel="0" collapsed="false">
      <c r="A24" s="1"/>
      <c r="B24" s="1"/>
    </row>
    <row r="25" customFormat="false" ht="24" hidden="false" customHeight="true" outlineLevel="0" collapsed="false">
      <c r="A25" s="1"/>
      <c r="B25" s="1"/>
      <c r="C25" s="19" t="str">
        <f aca="false">HYPERLINK("#'TITULAR'!A1", "&lt;- ANTERIOR")</f>
        <v>&lt;- ANTERIOR</v>
      </c>
      <c r="D25" s="13" t="str">
        <f aca="false">HYPERLINK("#'NOTAS'!A1", "PRÓXIMO -&gt;")</f>
        <v>PRÓXIMO -&gt;</v>
      </c>
    </row>
  </sheetData>
  <mergeCells count="10">
    <mergeCell ref="A2:B2"/>
    <mergeCell ref="C2:E2"/>
    <mergeCell ref="C3:E3"/>
    <mergeCell ref="C6:D6"/>
    <mergeCell ref="A7:B7"/>
    <mergeCell ref="A9:B9"/>
    <mergeCell ref="A11:B11"/>
    <mergeCell ref="A17:B17"/>
    <mergeCell ref="A18:B18"/>
    <mergeCell ref="A19:B19"/>
  </mergeCells>
  <dataValidations count="1">
    <dataValidation allowBlank="false" error="Selecione um banco válido da lista oficial" errorStyle="stop" errorTitle="Banco Inválido" operator="between" showDropDown="false" showErrorMessage="false" showInputMessage="false" sqref="D9 D13 D17 D21" type="list">
      <formula1>Apoio_Dados!$B$2:$B$11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/>
      <c r="B1" s="1"/>
    </row>
    <row r="2" customFormat="false" ht="21.75" hidden="false" customHeight="true" outlineLevel="0" collapsed="false">
      <c r="A2" s="2" t="s">
        <v>0</v>
      </c>
      <c r="B2" s="2"/>
      <c r="C2" s="3" t="s">
        <v>45</v>
      </c>
      <c r="D2" s="3"/>
      <c r="E2" s="3"/>
    </row>
    <row r="3" customFormat="false" ht="18" hidden="false" customHeight="true" outlineLevel="0" collapsed="false">
      <c r="A3" s="1"/>
      <c r="B3" s="1"/>
      <c r="C3" s="4" t="s">
        <v>46</v>
      </c>
      <c r="D3" s="4"/>
      <c r="E3" s="4"/>
    </row>
    <row r="4" customFormat="false" ht="30" hidden="false" customHeight="true" outlineLevel="0" collapsed="false">
      <c r="A4" s="1"/>
      <c r="B4" s="1"/>
    </row>
    <row r="5" customFormat="false" ht="21.75" hidden="false" customHeight="true" outlineLevel="0" collapsed="false">
      <c r="A5" s="1"/>
      <c r="B5" s="1"/>
      <c r="C5" s="13" t="str">
        <f aca="false">HYPERLINK("#'INFORMES'!A1", "&lt;- ANTERIOR")</f>
        <v>&lt;- ANTERIOR</v>
      </c>
    </row>
    <row r="6" customFormat="false" ht="15" hidden="false" customHeight="false" outlineLevel="0" collapsed="false">
      <c r="A6" s="1"/>
      <c r="B6" s="1"/>
    </row>
    <row r="7" customFormat="false" ht="19.5" hidden="false" customHeight="true" outlineLevel="0" collapsed="false">
      <c r="A7" s="8" t="str">
        <f aca="false">HYPERLINK("#'TITULAR'!A1", "TÍTULAR")</f>
        <v>TÍTULAR</v>
      </c>
      <c r="B7" s="8"/>
      <c r="C7" s="20" t="s">
        <v>47</v>
      </c>
      <c r="D7" s="20"/>
      <c r="E7" s="20"/>
    </row>
    <row r="8" customFormat="false" ht="18.75" hidden="false" customHeight="true" outlineLevel="0" collapsed="false">
      <c r="A8" s="1"/>
      <c r="B8" s="1"/>
      <c r="C8" s="21" t="s">
        <v>48</v>
      </c>
      <c r="D8" s="22" t="s">
        <v>49</v>
      </c>
      <c r="E8" s="21" t="s">
        <v>50</v>
      </c>
    </row>
    <row r="9" customFormat="false" ht="18.75" hidden="false" customHeight="true" outlineLevel="0" collapsed="false">
      <c r="A9" s="8" t="str">
        <f aca="false">HYPERLINK("#'INFORMES'!A1", "INFORMES")</f>
        <v>INFORMES</v>
      </c>
      <c r="B9" s="8"/>
      <c r="C9" s="23" t="s">
        <v>51</v>
      </c>
      <c r="D9" s="24" t="s">
        <v>52</v>
      </c>
      <c r="E9" s="25" t="n">
        <v>4500</v>
      </c>
    </row>
    <row r="10" customFormat="false" ht="18.75" hidden="false" customHeight="true" outlineLevel="0" collapsed="false">
      <c r="A10" s="1"/>
      <c r="B10" s="1"/>
      <c r="C10" s="26" t="s">
        <v>53</v>
      </c>
      <c r="D10" s="27" t="s">
        <v>52</v>
      </c>
      <c r="E10" s="28" t="n">
        <v>4500</v>
      </c>
    </row>
    <row r="11" customFormat="false" ht="18.75" hidden="false" customHeight="true" outlineLevel="0" collapsed="false">
      <c r="A11" s="7" t="str">
        <f aca="false">HYPERLINK("#'NOTAS'!A1", "NOTAS")</f>
        <v>NOTAS</v>
      </c>
      <c r="B11" s="7"/>
      <c r="C11" s="23" t="s">
        <v>54</v>
      </c>
      <c r="D11" s="24" t="s">
        <v>52</v>
      </c>
      <c r="E11" s="25" t="n">
        <v>4500</v>
      </c>
    </row>
    <row r="12" customFormat="false" ht="18.75" hidden="false" customHeight="true" outlineLevel="0" collapsed="false">
      <c r="A12" s="1"/>
      <c r="B12" s="1"/>
      <c r="C12" s="26" t="s">
        <v>55</v>
      </c>
      <c r="D12" s="27" t="s">
        <v>52</v>
      </c>
      <c r="E12" s="28" t="n">
        <v>4500</v>
      </c>
    </row>
    <row r="13" customFormat="false" ht="18.75" hidden="false" customHeight="true" outlineLevel="0" collapsed="false">
      <c r="A13" s="1"/>
      <c r="B13" s="1"/>
      <c r="C13" s="23" t="s">
        <v>56</v>
      </c>
      <c r="D13" s="24" t="s">
        <v>52</v>
      </c>
      <c r="E13" s="25" t="n">
        <v>4500</v>
      </c>
    </row>
    <row r="14" customFormat="false" ht="18.75" hidden="false" customHeight="true" outlineLevel="0" collapsed="false">
      <c r="A14" s="1"/>
      <c r="B14" s="1"/>
      <c r="C14" s="26" t="s">
        <v>57</v>
      </c>
      <c r="D14" s="27" t="s">
        <v>52</v>
      </c>
      <c r="E14" s="28" t="n">
        <v>4500</v>
      </c>
    </row>
    <row r="15" customFormat="false" ht="18.75" hidden="false" customHeight="true" outlineLevel="0" collapsed="false">
      <c r="A15" s="1"/>
      <c r="B15" s="1"/>
      <c r="C15" s="23" t="s">
        <v>58</v>
      </c>
      <c r="D15" s="24" t="s">
        <v>52</v>
      </c>
      <c r="E15" s="25" t="n">
        <v>4500</v>
      </c>
    </row>
    <row r="16" customFormat="false" ht="18.75" hidden="false" customHeight="true" outlineLevel="0" collapsed="false">
      <c r="A16" s="1"/>
      <c r="B16" s="1"/>
      <c r="C16" s="26" t="s">
        <v>59</v>
      </c>
      <c r="D16" s="27" t="s">
        <v>52</v>
      </c>
      <c r="E16" s="28" t="n">
        <v>4500</v>
      </c>
    </row>
    <row r="17" customFormat="false" ht="18.75" hidden="false" customHeight="true" outlineLevel="0" collapsed="false">
      <c r="A17" s="10"/>
      <c r="B17" s="10"/>
      <c r="C17" s="23" t="s">
        <v>60</v>
      </c>
      <c r="D17" s="24" t="s">
        <v>52</v>
      </c>
      <c r="E17" s="25" t="n">
        <v>4500</v>
      </c>
    </row>
    <row r="18" customFormat="false" ht="18.75" hidden="false" customHeight="true" outlineLevel="0" collapsed="false">
      <c r="A18" s="11" t="s">
        <v>29</v>
      </c>
      <c r="B18" s="11"/>
      <c r="C18" s="26" t="s">
        <v>61</v>
      </c>
      <c r="D18" s="27" t="s">
        <v>52</v>
      </c>
      <c r="E18" s="28" t="n">
        <v>4500</v>
      </c>
    </row>
    <row r="19" customFormat="false" ht="18.75" hidden="false" customHeight="true" outlineLevel="0" collapsed="false">
      <c r="A19" s="12" t="str">
        <f aca="false">HYPERLINK("https://linkedin.com", "🔗 linkedin.com/in/henrico")</f>
        <v>🔗 linkedin.com/in/henrico</v>
      </c>
      <c r="B19" s="12"/>
      <c r="C19" s="23" t="s">
        <v>62</v>
      </c>
      <c r="D19" s="24" t="s">
        <v>52</v>
      </c>
      <c r="E19" s="25" t="n">
        <v>4500</v>
      </c>
    </row>
    <row r="20" customFormat="false" ht="18.75" hidden="false" customHeight="true" outlineLevel="0" collapsed="false">
      <c r="A20" s="1"/>
      <c r="B20" s="1"/>
      <c r="C20" s="26" t="s">
        <v>63</v>
      </c>
      <c r="D20" s="27" t="s">
        <v>52</v>
      </c>
      <c r="E20" s="28" t="n">
        <v>4500</v>
      </c>
    </row>
    <row r="21" customFormat="false" ht="21.75" hidden="false" customHeight="true" outlineLevel="0" collapsed="false">
      <c r="A21" s="1"/>
      <c r="B21" s="1"/>
      <c r="C21" s="29" t="s">
        <v>64</v>
      </c>
      <c r="D21" s="30" t="s">
        <v>65</v>
      </c>
      <c r="E21" s="31" t="n">
        <f aca="false">SUM(E9:E20)</f>
        <v>54000</v>
      </c>
    </row>
    <row r="22" customFormat="false" ht="15" hidden="false" customHeight="false" outlineLevel="0" collapsed="false">
      <c r="A22" s="1"/>
      <c r="B22" s="1"/>
    </row>
    <row r="23" customFormat="false" ht="15" hidden="false" customHeight="false" outlineLevel="0" collapsed="false">
      <c r="A23" s="1"/>
      <c r="B23" s="1"/>
    </row>
    <row r="24" customFormat="false" ht="15" hidden="false" customHeight="false" outlineLevel="0" collapsed="false">
      <c r="A24" s="1"/>
      <c r="B24" s="1"/>
    </row>
    <row r="25" customFormat="false" ht="15" hidden="false" customHeight="false" outlineLevel="0" collapsed="false">
      <c r="A25" s="1"/>
      <c r="B25" s="1"/>
    </row>
  </sheetData>
  <mergeCells count="10">
    <mergeCell ref="A2:B2"/>
    <mergeCell ref="C2:E2"/>
    <mergeCell ref="C3:E3"/>
    <mergeCell ref="A7:B7"/>
    <mergeCell ref="C7:E7"/>
    <mergeCell ref="A9:B9"/>
    <mergeCell ref="A11:B11"/>
    <mergeCell ref="A17:B17"/>
    <mergeCell ref="A18:B18"/>
    <mergeCell ref="A19:B19"/>
  </mergeCells>
  <dataValidations count="1">
    <dataValidation allowBlank="false" error="Escolha uma categoria válida da lista" errorStyle="stop" errorTitle="Categoria Inválida" operator="between" showDropDown="false" showErrorMessage="false" showInputMessage="false" sqref="D9:D20" type="list">
      <formula1>Apoio_Dados!$D$2:$D$9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4"/>
    <col collapsed="false" customWidth="true" hidden="false" outlineLevel="0" max="4" min="4" style="0" width="28"/>
    <col collapsed="false" customWidth="true" hidden="false" outlineLevel="0" max="5" min="5" style="0" width="4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2" t="s">
        <v>66</v>
      </c>
      <c r="B1" s="33" t="s">
        <v>67</v>
      </c>
      <c r="D1" s="33" t="s">
        <v>68</v>
      </c>
      <c r="F1" s="32" t="s">
        <v>69</v>
      </c>
    </row>
    <row r="2" customFormat="false" ht="15" hidden="false" customHeight="false" outlineLevel="0" collapsed="false">
      <c r="A2" s="34" t="n">
        <v>33</v>
      </c>
      <c r="B2" s="35" t="s">
        <v>36</v>
      </c>
      <c r="D2" s="35" t="s">
        <v>52</v>
      </c>
      <c r="F2" s="36" t="s">
        <v>26</v>
      </c>
    </row>
    <row r="3" customFormat="false" ht="15" hidden="false" customHeight="false" outlineLevel="0" collapsed="false">
      <c r="A3" s="34" t="n">
        <v>1</v>
      </c>
      <c r="B3" s="35" t="s">
        <v>70</v>
      </c>
      <c r="D3" s="35" t="s">
        <v>71</v>
      </c>
      <c r="F3" s="36" t="s">
        <v>28</v>
      </c>
    </row>
    <row r="4" customFormat="false" ht="15" hidden="false" customHeight="false" outlineLevel="0" collapsed="false">
      <c r="A4" s="34" t="n">
        <v>104</v>
      </c>
      <c r="B4" s="35" t="s">
        <v>72</v>
      </c>
      <c r="D4" s="35" t="s">
        <v>73</v>
      </c>
    </row>
    <row r="5" customFormat="false" ht="15" hidden="false" customHeight="false" outlineLevel="0" collapsed="false">
      <c r="A5" s="34" t="n">
        <v>237</v>
      </c>
      <c r="B5" s="35" t="s">
        <v>74</v>
      </c>
      <c r="D5" s="35" t="s">
        <v>75</v>
      </c>
    </row>
    <row r="6" customFormat="false" ht="15" hidden="false" customHeight="false" outlineLevel="0" collapsed="false">
      <c r="A6" s="34" t="n">
        <v>341</v>
      </c>
      <c r="B6" s="35" t="s">
        <v>40</v>
      </c>
      <c r="D6" s="35" t="s">
        <v>76</v>
      </c>
    </row>
    <row r="7" customFormat="false" ht="15" hidden="false" customHeight="false" outlineLevel="0" collapsed="false">
      <c r="A7" s="34" t="n">
        <v>260</v>
      </c>
      <c r="B7" s="35" t="s">
        <v>44</v>
      </c>
      <c r="D7" s="35" t="s">
        <v>77</v>
      </c>
    </row>
    <row r="8" customFormat="false" ht="15" hidden="false" customHeight="false" outlineLevel="0" collapsed="false">
      <c r="A8" s="34" t="n">
        <v>77</v>
      </c>
      <c r="B8" s="35" t="s">
        <v>78</v>
      </c>
      <c r="D8" s="35" t="s">
        <v>79</v>
      </c>
    </row>
    <row r="9" customFormat="false" ht="15" hidden="false" customHeight="false" outlineLevel="0" collapsed="false">
      <c r="A9" s="34" t="n">
        <v>208</v>
      </c>
      <c r="B9" s="35" t="s">
        <v>42</v>
      </c>
      <c r="D9" s="35" t="s">
        <v>80</v>
      </c>
    </row>
    <row r="10" customFormat="false" ht="15" hidden="false" customHeight="false" outlineLevel="0" collapsed="false">
      <c r="A10" s="34" t="n">
        <v>336</v>
      </c>
      <c r="B10" s="35" t="s">
        <v>81</v>
      </c>
    </row>
    <row r="11" customFormat="false" ht="15" hidden="false" customHeight="false" outlineLevel="0" collapsed="false">
      <c r="A11" s="34" t="n">
        <v>212</v>
      </c>
      <c r="B11" s="35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2026-10-09T14:00:30Z</dcterms:created>
  <dc:creator>openpyxl</dc:creator>
  <dc:description/>
  <dc:language>en-US</dc:language>
  <cp:lastModifiedBy/>
  <dcterms:modified xsi:type="dcterms:W3CDTF">2026-10-09T14:00:31Z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